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JM\Desktop\TRECA-GODINA\Performanse računarskih sistema\netperf\"/>
    </mc:Choice>
  </mc:AlternateContent>
  <xr:revisionPtr revIDLastSave="0" documentId="13_ncr:1_{45C00239-4D40-4779-BC18-0CCF6FE24A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" i="1" l="1"/>
  <c r="K6" i="1"/>
  <c r="K5" i="1"/>
  <c r="J6" i="1"/>
  <c r="H3" i="1"/>
  <c r="H2" i="1"/>
  <c r="H5" i="1"/>
  <c r="H6" i="1" s="1"/>
  <c r="H4" i="1"/>
</calcChain>
</file>

<file path=xl/sharedStrings.xml><?xml version="1.0" encoding="utf-8"?>
<sst xmlns="http://schemas.openxmlformats.org/spreadsheetml/2006/main" count="24" uniqueCount="24">
  <si>
    <t>Mjerenje</t>
  </si>
  <si>
    <t>Elapsed Time secs.</t>
  </si>
  <si>
    <t>Throughput 10^6bits/sec</t>
  </si>
  <si>
    <t>Recv Socket Size bytes</t>
  </si>
  <si>
    <t>Send Socket Size bytes</t>
  </si>
  <si>
    <t>Send Message Size bytes</t>
  </si>
  <si>
    <t>Aritmetička sredina(Mean)</t>
  </si>
  <si>
    <t>Median</t>
  </si>
  <si>
    <t>Varijansa</t>
  </si>
  <si>
    <t>Standardna devijacija</t>
  </si>
  <si>
    <t>Koeficijent varijacije</t>
  </si>
  <si>
    <t>Statistička veličina</t>
  </si>
  <si>
    <t>Vrijednost</t>
  </si>
  <si>
    <t>Parametar</t>
  </si>
  <si>
    <t>Vrijednost 1</t>
  </si>
  <si>
    <t>Vrijednost 2</t>
  </si>
  <si>
    <t>Nivo povjerenja</t>
  </si>
  <si>
    <t>Stepen slobode</t>
  </si>
  <si>
    <t>Vrijednost t-raspodjele</t>
  </si>
  <si>
    <t>c1</t>
  </si>
  <si>
    <t>c2</t>
  </si>
  <si>
    <t>Širina intervala</t>
  </si>
  <si>
    <t>[18362.32; 18854.67]</t>
  </si>
  <si>
    <t>[18304.71; 18912.28]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</si>
</sst>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2" fontId="0" fillId="0" borderId="0" xfId="0" applyNumberFormat="1" applyAlignment="1">
      <alignment horizontal="center"/>
    </xf>
    <xf numFmtId="2" fontId="0" fillId="0" borderId="0" xfId="0" applyNumberFormat="1"/>
    <xf numFmtId="10" fontId="0" fillId="0" borderId="0" xfId="1" applyNumberFormat="1" applyFont="1" applyAlignment="1">
      <alignment horizontal="center"/>
    </xf>
    <xf numFmtId="9" fontId="0" fillId="0" borderId="0" xfId="1" applyNumberFormat="1" applyFont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topLeftCell="C1" workbookViewId="0">
      <selection activeCell="I22" sqref="I22"/>
    </sheetView>
  </sheetViews>
  <sheetFormatPr defaultRowHeight="14.4" x14ac:dyDescent="0.3"/>
  <cols>
    <col min="1" max="1" width="12.5546875" customWidth="1"/>
    <col min="2" max="6" width="21.33203125" customWidth="1"/>
    <col min="7" max="7" width="19.77734375" style="3" customWidth="1"/>
    <col min="8" max="8" width="17.6640625" customWidth="1"/>
    <col min="9" max="11" width="19.21875" customWidth="1"/>
    <col min="12" max="12" width="17.6640625" customWidth="1"/>
  </cols>
  <sheetData>
    <row r="1" spans="1:11" s="4" customFormat="1" x14ac:dyDescent="0.3">
      <c r="A1" s="4" t="s">
        <v>0</v>
      </c>
      <c r="B1" s="4" t="s">
        <v>3</v>
      </c>
      <c r="C1" s="4" t="s">
        <v>4</v>
      </c>
      <c r="D1" s="4" t="s">
        <v>5</v>
      </c>
      <c r="E1" s="4" t="s">
        <v>1</v>
      </c>
      <c r="F1" s="4" t="s">
        <v>2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</row>
    <row r="2" spans="1:11" s="1" customFormat="1" ht="28.8" x14ac:dyDescent="0.3">
      <c r="A2" s="1">
        <v>1</v>
      </c>
      <c r="B2" s="1">
        <v>65536</v>
      </c>
      <c r="C2" s="1">
        <v>65536</v>
      </c>
      <c r="D2" s="1">
        <v>65536</v>
      </c>
      <c r="E2" s="1">
        <v>10</v>
      </c>
      <c r="F2" s="1">
        <v>17575.28</v>
      </c>
      <c r="G2" s="5" t="s">
        <v>6</v>
      </c>
      <c r="H2" s="7">
        <f>AVERAGE(F2:F11)</f>
        <v>18608.495999999999</v>
      </c>
      <c r="I2" s="9" t="s">
        <v>16</v>
      </c>
      <c r="J2" s="9">
        <v>0.9</v>
      </c>
      <c r="K2" s="9">
        <v>0.95</v>
      </c>
    </row>
    <row r="3" spans="1:11" s="1" customFormat="1" x14ac:dyDescent="0.3">
      <c r="A3" s="1">
        <v>2</v>
      </c>
      <c r="B3" s="1">
        <v>65536</v>
      </c>
      <c r="C3" s="1">
        <v>65536</v>
      </c>
      <c r="D3" s="1">
        <v>65536</v>
      </c>
      <c r="E3" s="1">
        <v>10</v>
      </c>
      <c r="F3" s="1">
        <v>18367.78</v>
      </c>
      <c r="G3" s="4" t="s">
        <v>7</v>
      </c>
      <c r="H3" s="1">
        <f>SUM(F6:F7)/2</f>
        <v>18679.260000000002</v>
      </c>
      <c r="I3" s="1" t="s">
        <v>17</v>
      </c>
      <c r="J3" s="1">
        <v>9</v>
      </c>
      <c r="K3" s="1">
        <v>9</v>
      </c>
    </row>
    <row r="4" spans="1:11" s="1" customFormat="1" x14ac:dyDescent="0.3">
      <c r="A4" s="1">
        <v>3</v>
      </c>
      <c r="B4" s="1">
        <v>65536</v>
      </c>
      <c r="C4" s="1">
        <v>65536</v>
      </c>
      <c r="D4" s="1">
        <v>65536</v>
      </c>
      <c r="E4" s="1">
        <v>10</v>
      </c>
      <c r="F4" s="1">
        <v>18476.3</v>
      </c>
      <c r="G4" s="4" t="s">
        <v>8</v>
      </c>
      <c r="H4" s="6">
        <f>VAR(F2:F11)</f>
        <v>180367.08873777793</v>
      </c>
      <c r="I4" s="1" t="s">
        <v>18</v>
      </c>
      <c r="J4" s="1">
        <v>1.833</v>
      </c>
      <c r="K4" s="1">
        <v>2.262</v>
      </c>
    </row>
    <row r="5" spans="1:11" s="1" customFormat="1" x14ac:dyDescent="0.3">
      <c r="A5" s="1">
        <v>4</v>
      </c>
      <c r="B5" s="1">
        <v>65536</v>
      </c>
      <c r="C5" s="1">
        <v>65536</v>
      </c>
      <c r="D5" s="1">
        <v>65536</v>
      </c>
      <c r="E5" s="1">
        <v>10</v>
      </c>
      <c r="F5" s="1">
        <v>18532.13</v>
      </c>
      <c r="G5" s="4" t="s">
        <v>9</v>
      </c>
      <c r="H5" s="6">
        <f>SQRT(H4)</f>
        <v>424.69646659441133</v>
      </c>
      <c r="I5" s="6" t="s">
        <v>19</v>
      </c>
      <c r="J5" s="6">
        <f>H2-(J4*H5/SQRT(10))</f>
        <v>18362.322606349895</v>
      </c>
      <c r="K5" s="6">
        <f>H2-(K4*H5/SQRT(10))</f>
        <v>18304.707556772213</v>
      </c>
    </row>
    <row r="6" spans="1:11" s="1" customFormat="1" x14ac:dyDescent="0.3">
      <c r="A6" s="1">
        <v>5</v>
      </c>
      <c r="B6" s="1">
        <v>65536</v>
      </c>
      <c r="C6" s="1">
        <v>65536</v>
      </c>
      <c r="D6" s="1">
        <v>65536</v>
      </c>
      <c r="E6" s="1">
        <v>10</v>
      </c>
      <c r="F6" s="1">
        <v>18609.89</v>
      </c>
      <c r="G6" s="4" t="s">
        <v>10</v>
      </c>
      <c r="H6" s="8">
        <f>H5/H2</f>
        <v>2.2822718536436869E-2</v>
      </c>
      <c r="I6" s="6" t="s">
        <v>20</v>
      </c>
      <c r="J6" s="6">
        <f>H2+(J4*H5/SQRT(10))</f>
        <v>18854.669393650103</v>
      </c>
      <c r="K6" s="6">
        <f>H2+(K4*H5/SQRT(10))</f>
        <v>18912.284443227785</v>
      </c>
    </row>
    <row r="7" spans="1:11" s="1" customFormat="1" x14ac:dyDescent="0.3">
      <c r="A7" s="1">
        <v>6</v>
      </c>
      <c r="B7" s="1">
        <v>65536</v>
      </c>
      <c r="C7" s="1">
        <v>65536</v>
      </c>
      <c r="D7" s="1">
        <v>65536</v>
      </c>
      <c r="E7" s="1">
        <v>10</v>
      </c>
      <c r="F7" s="1">
        <v>18748.63</v>
      </c>
      <c r="G7" s="2"/>
      <c r="I7" s="6" t="s">
        <v>21</v>
      </c>
      <c r="J7" s="6" t="s">
        <v>22</v>
      </c>
      <c r="K7" s="6" t="s">
        <v>23</v>
      </c>
    </row>
    <row r="8" spans="1:11" s="1" customFormat="1" x14ac:dyDescent="0.3">
      <c r="A8" s="1">
        <v>7</v>
      </c>
      <c r="B8" s="1">
        <v>65536</v>
      </c>
      <c r="C8" s="1">
        <v>65536</v>
      </c>
      <c r="D8" s="1">
        <v>65536</v>
      </c>
      <c r="E8" s="1">
        <v>10</v>
      </c>
      <c r="F8" s="1">
        <v>18907.96</v>
      </c>
      <c r="G8" s="2"/>
    </row>
    <row r="9" spans="1:11" s="1" customFormat="1" x14ac:dyDescent="0.3">
      <c r="A9" s="1">
        <v>8</v>
      </c>
      <c r="B9" s="1">
        <v>65536</v>
      </c>
      <c r="C9" s="1">
        <v>65536</v>
      </c>
      <c r="D9" s="1">
        <v>65536</v>
      </c>
      <c r="E9" s="1">
        <v>10</v>
      </c>
      <c r="F9" s="1">
        <v>18930.23</v>
      </c>
      <c r="G9" s="2"/>
    </row>
    <row r="10" spans="1:11" s="1" customFormat="1" x14ac:dyDescent="0.3">
      <c r="A10" s="1">
        <v>9</v>
      </c>
      <c r="B10" s="1">
        <v>65536</v>
      </c>
      <c r="C10" s="1">
        <v>65536</v>
      </c>
      <c r="D10" s="1">
        <v>65536</v>
      </c>
      <c r="E10" s="1">
        <v>10</v>
      </c>
      <c r="F10" s="1">
        <v>18931.96</v>
      </c>
      <c r="G10" s="2"/>
    </row>
    <row r="11" spans="1:11" s="1" customFormat="1" x14ac:dyDescent="0.3">
      <c r="A11" s="1">
        <v>10</v>
      </c>
      <c r="B11" s="1">
        <v>65536</v>
      </c>
      <c r="C11" s="1">
        <v>65536</v>
      </c>
      <c r="D11" s="1">
        <v>65536</v>
      </c>
      <c r="E11" s="1">
        <v>10</v>
      </c>
      <c r="F11" s="1">
        <v>19004.8</v>
      </c>
      <c r="G11" s="2"/>
    </row>
  </sheetData>
  <sortState xmlns:xlrd2="http://schemas.microsoft.com/office/spreadsheetml/2017/richdata2" ref="F2:F11">
    <sortCondition ref="F2:F1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JM</dc:creator>
  <cp:lastModifiedBy>JM</cp:lastModifiedBy>
  <dcterms:created xsi:type="dcterms:W3CDTF">2015-06-05T18:17:20Z</dcterms:created>
  <dcterms:modified xsi:type="dcterms:W3CDTF">2026-03-16T17:18:43Z</dcterms:modified>
</cp:coreProperties>
</file>